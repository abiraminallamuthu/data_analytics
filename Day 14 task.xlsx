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8055"/>
  </bookViews>
  <sheets>
    <sheet name="Task 1" sheetId="1" r:id="rId1"/>
    <sheet name="Task 2" sheetId="2" r:id="rId2"/>
    <sheet name="Task 3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3" l="1"/>
  <c r="C38" i="3"/>
  <c r="C37" i="3"/>
  <c r="C36" i="3"/>
  <c r="C35" i="3"/>
  <c r="C33" i="3"/>
  <c r="C32" i="3"/>
  <c r="C32" i="2"/>
  <c r="C30" i="2"/>
  <c r="C29" i="2"/>
  <c r="C46" i="1"/>
  <c r="C44" i="1"/>
  <c r="C43" i="1"/>
  <c r="C39" i="1"/>
  <c r="C38" i="1"/>
  <c r="C37" i="1"/>
  <c r="H3" i="1"/>
  <c r="H4" i="1"/>
  <c r="H5" i="1"/>
  <c r="H6" i="1"/>
  <c r="H7" i="1"/>
  <c r="H8" i="1"/>
  <c r="H9" i="1"/>
  <c r="H10" i="1"/>
  <c r="H11" i="1"/>
  <c r="H2" i="1"/>
  <c r="C36" i="1"/>
  <c r="C35" i="1"/>
  <c r="C34" i="1"/>
  <c r="C20" i="1"/>
  <c r="C32" i="1"/>
  <c r="C31" i="1"/>
  <c r="C30" i="1"/>
  <c r="C28" i="1"/>
  <c r="C29" i="3" l="1"/>
  <c r="C28" i="3"/>
  <c r="C27" i="3"/>
  <c r="C26" i="3"/>
  <c r="C31" i="2"/>
  <c r="C42" i="1"/>
  <c r="C41" i="1"/>
  <c r="C33" i="1"/>
  <c r="C29" i="1"/>
  <c r="C31" i="3"/>
  <c r="C30" i="3"/>
  <c r="C25" i="3"/>
  <c r="C24" i="3"/>
  <c r="C23" i="3"/>
  <c r="C22" i="3"/>
  <c r="C21" i="3"/>
  <c r="C20" i="3"/>
  <c r="C27" i="1" l="1"/>
  <c r="C26" i="1"/>
  <c r="C25" i="1"/>
  <c r="C24" i="1"/>
  <c r="C23" i="1"/>
  <c r="C22" i="1"/>
  <c r="C21" i="1"/>
  <c r="C19" i="1"/>
  <c r="C18" i="1"/>
  <c r="C17" i="1"/>
  <c r="C16" i="1"/>
  <c r="C15" i="1"/>
  <c r="C25" i="2"/>
  <c r="C28" i="2"/>
  <c r="C27" i="2"/>
  <c r="C23" i="2"/>
  <c r="C24" i="2"/>
  <c r="C22" i="2"/>
  <c r="C21" i="2"/>
  <c r="C20" i="2"/>
  <c r="C19" i="2"/>
  <c r="C18" i="2"/>
  <c r="C17" i="2"/>
  <c r="C16" i="2"/>
  <c r="C15" i="2"/>
  <c r="C14" i="2"/>
  <c r="C55" i="1" l="1"/>
  <c r="C57" i="1"/>
</calcChain>
</file>

<file path=xl/sharedStrings.xml><?xml version="1.0" encoding="utf-8"?>
<sst xmlns="http://schemas.openxmlformats.org/spreadsheetml/2006/main" count="239" uniqueCount="170">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</sst>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9" workbookViewId="0">
      <selection activeCell="C46" sqref="C46"/>
    </sheetView>
  </sheetViews>
  <sheetFormatPr defaultRowHeight="18.75" customHeight="1" x14ac:dyDescent="0.25"/>
  <cols>
    <col min="1" max="1" width="15.140625" customWidth="1"/>
    <col min="2" max="2" width="38.28515625" bestFit="1" customWidth="1"/>
    <col min="3" max="3" width="36.28515625" bestFit="1" customWidth="1"/>
    <col min="4" max="4" width="31.140625" bestFit="1" customWidth="1"/>
    <col min="5" max="5" width="11.5703125" bestFit="1" customWidth="1"/>
    <col min="6" max="6" width="13.42578125" bestFit="1" customWidth="1"/>
    <col min="7" max="7" width="15.85546875" bestFit="1" customWidth="1"/>
  </cols>
  <sheetData>
    <row r="1" spans="1: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8.75" customHeight="1" x14ac:dyDescent="0.25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  <c r="H2" t="str">
        <f>IF(AND(D2&gt;=E2,G2&gt;=90),"Star Performer","Average")</f>
        <v>Star Performer</v>
      </c>
    </row>
    <row r="3" spans="1:8" ht="18.75" customHeight="1" x14ac:dyDescent="0.25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  <c r="H3" s="5" t="str">
        <f t="shared" ref="H3:H11" si="0">IF(AND(D3&gt;=E3,G3&gt;=90),"Star Performer","Average")</f>
        <v>Average</v>
      </c>
    </row>
    <row r="4" spans="1:8" ht="18.75" customHeight="1" x14ac:dyDescent="0.25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  <c r="H4" s="5" t="str">
        <f t="shared" si="0"/>
        <v>Star Performer</v>
      </c>
    </row>
    <row r="5" spans="1:8" ht="18.75" customHeight="1" x14ac:dyDescent="0.25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  <c r="H5" s="5" t="str">
        <f t="shared" si="0"/>
        <v>Star Performer</v>
      </c>
    </row>
    <row r="6" spans="1:8" ht="18.75" customHeight="1" x14ac:dyDescent="0.25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  <c r="H6" s="5" t="str">
        <f t="shared" si="0"/>
        <v>Average</v>
      </c>
    </row>
    <row r="7" spans="1:8" ht="18.75" customHeight="1" x14ac:dyDescent="0.25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  <c r="H7" s="5" t="str">
        <f t="shared" si="0"/>
        <v>Average</v>
      </c>
    </row>
    <row r="8" spans="1:8" ht="18.75" customHeight="1" x14ac:dyDescent="0.25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  <c r="H8" s="5" t="str">
        <f t="shared" si="0"/>
        <v>Star Performer</v>
      </c>
    </row>
    <row r="9" spans="1:8" ht="18.75" customHeight="1" x14ac:dyDescent="0.25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  <c r="H9" s="5" t="str">
        <f t="shared" si="0"/>
        <v>Average</v>
      </c>
    </row>
    <row r="10" spans="1:8" ht="18.75" customHeight="1" x14ac:dyDescent="0.25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  <c r="H10" s="5" t="str">
        <f t="shared" si="0"/>
        <v>Star Performer</v>
      </c>
    </row>
    <row r="11" spans="1:8" ht="18.75" customHeight="1" x14ac:dyDescent="0.25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  <c r="H11" s="5" t="str">
        <f t="shared" si="0"/>
        <v>Star Performer</v>
      </c>
    </row>
    <row r="14" spans="1:8" ht="18.75" customHeight="1" x14ac:dyDescent="0.25">
      <c r="A14" s="1" t="s">
        <v>24</v>
      </c>
      <c r="B14" s="1" t="s">
        <v>25</v>
      </c>
      <c r="C14" s="1" t="s">
        <v>169</v>
      </c>
      <c r="D14" s="1"/>
    </row>
    <row r="15" spans="1:8" ht="18.75" customHeight="1" x14ac:dyDescent="0.25">
      <c r="A15" s="2">
        <v>1</v>
      </c>
      <c r="B15" s="2" t="s">
        <v>26</v>
      </c>
      <c r="C15" s="4">
        <f>SUM(D2:D11)</f>
        <v>681000</v>
      </c>
      <c r="D15" s="2"/>
    </row>
    <row r="16" spans="1:8" ht="18.75" customHeight="1" x14ac:dyDescent="0.25">
      <c r="A16" s="2">
        <v>2</v>
      </c>
      <c r="B16" s="2" t="s">
        <v>27</v>
      </c>
      <c r="C16" s="4">
        <f>AVERAGE(D2:D11)</f>
        <v>68100</v>
      </c>
      <c r="D16" s="2"/>
    </row>
    <row r="17" spans="1:4" ht="18.75" customHeight="1" x14ac:dyDescent="0.25">
      <c r="A17" s="2">
        <v>3</v>
      </c>
      <c r="B17" s="2" t="s">
        <v>28</v>
      </c>
      <c r="C17" s="4">
        <f>MAX(D2:D11)</f>
        <v>95000</v>
      </c>
      <c r="D17" s="2"/>
    </row>
    <row r="18" spans="1:4" ht="18.75" customHeight="1" x14ac:dyDescent="0.25">
      <c r="A18" s="2">
        <v>4</v>
      </c>
      <c r="B18" s="2" t="s">
        <v>29</v>
      </c>
      <c r="C18" s="4">
        <f>MIN(D2:D11)</f>
        <v>38000</v>
      </c>
      <c r="D18" s="2"/>
    </row>
    <row r="19" spans="1:4" ht="18.75" customHeight="1" x14ac:dyDescent="0.25">
      <c r="A19" s="2">
        <v>5</v>
      </c>
      <c r="B19" s="2" t="s">
        <v>30</v>
      </c>
      <c r="C19" s="4">
        <f>COUNTA(A2:A11)</f>
        <v>10</v>
      </c>
      <c r="D19" s="2"/>
    </row>
    <row r="20" spans="1:4" ht="18.75" customHeight="1" x14ac:dyDescent="0.25">
      <c r="A20" s="2">
        <v>6</v>
      </c>
      <c r="B20" s="2" t="s">
        <v>31</v>
      </c>
      <c r="C20" s="4">
        <f>COUNTIF(B2:B11,"Sales")</f>
        <v>4</v>
      </c>
      <c r="D20" s="2"/>
    </row>
    <row r="21" spans="1:4" ht="18.75" customHeight="1" x14ac:dyDescent="0.25">
      <c r="A21" s="2">
        <v>7</v>
      </c>
      <c r="B21" s="2" t="s">
        <v>32</v>
      </c>
      <c r="C21" s="4">
        <f>COUNTIF(C2:C11,"South")</f>
        <v>4</v>
      </c>
      <c r="D21" s="2"/>
    </row>
    <row r="22" spans="1:4" ht="18.75" customHeight="1" x14ac:dyDescent="0.25">
      <c r="A22" s="2">
        <v>8</v>
      </c>
      <c r="B22" s="2" t="s">
        <v>33</v>
      </c>
      <c r="C22" s="4">
        <f>COUNTIF(D2:D11,"&gt;80000")</f>
        <v>3</v>
      </c>
      <c r="D22" s="2"/>
    </row>
    <row r="23" spans="1:4" ht="18.75" customHeight="1" x14ac:dyDescent="0.25">
      <c r="A23" s="2">
        <v>9</v>
      </c>
      <c r="B23" s="2" t="s">
        <v>34</v>
      </c>
      <c r="C23" s="4">
        <f>SUMIF(D2:D11,"&gt;80000")</f>
        <v>271000</v>
      </c>
      <c r="D23" s="2"/>
    </row>
    <row r="24" spans="1:4" ht="18.75" customHeight="1" x14ac:dyDescent="0.25">
      <c r="A24" s="2">
        <v>10</v>
      </c>
      <c r="B24" s="2" t="s">
        <v>35</v>
      </c>
      <c r="C24" s="4">
        <f>AVERAGEIF(D2:D11,"&gt;80000")</f>
        <v>90333.333333333328</v>
      </c>
      <c r="D24" s="2"/>
    </row>
    <row r="25" spans="1:4" ht="18.75" customHeight="1" x14ac:dyDescent="0.25">
      <c r="A25" s="2">
        <v>11</v>
      </c>
      <c r="B25" s="2" t="s">
        <v>36</v>
      </c>
      <c r="C25" s="4">
        <f>SUMIF(C2:C11,"South",D2:D11)</f>
        <v>247000</v>
      </c>
      <c r="D25" s="2"/>
    </row>
    <row r="26" spans="1:4" ht="18.75" customHeight="1" x14ac:dyDescent="0.25">
      <c r="A26" s="2">
        <v>12</v>
      </c>
      <c r="B26" s="2" t="s">
        <v>37</v>
      </c>
      <c r="C26" s="4">
        <f>AVERAGEIF(B2:B11,"=IT",E2:E11)</f>
        <v>80000</v>
      </c>
      <c r="D26" s="2"/>
    </row>
    <row r="27" spans="1:4" ht="18.75" customHeight="1" x14ac:dyDescent="0.25">
      <c r="A27" s="2">
        <v>13</v>
      </c>
      <c r="B27" s="2" t="s">
        <v>38</v>
      </c>
      <c r="C27" s="4">
        <f>COUNTIF(F2:F11,"100%")</f>
        <v>1</v>
      </c>
      <c r="D27" s="2"/>
    </row>
    <row r="28" spans="1:4" ht="18.75" customHeight="1" x14ac:dyDescent="0.25">
      <c r="A28" s="2">
        <v>14</v>
      </c>
      <c r="B28" s="2" t="s">
        <v>39</v>
      </c>
      <c r="C28" s="4">
        <f>SUMIF(B2:B11,"HR",D2:D11)</f>
        <v>120000</v>
      </c>
      <c r="D28" s="2"/>
    </row>
    <row r="29" spans="1:4" ht="18.75" customHeight="1" x14ac:dyDescent="0.25">
      <c r="A29" s="2">
        <v>15</v>
      </c>
      <c r="B29" s="2" t="s">
        <v>40</v>
      </c>
      <c r="C29" s="4">
        <f>AVERAGE(G2:G11)</f>
        <v>90.3</v>
      </c>
      <c r="D29" s="2"/>
    </row>
    <row r="30" spans="1:4" ht="18.75" customHeight="1" x14ac:dyDescent="0.25">
      <c r="A30" s="2">
        <v>16</v>
      </c>
      <c r="B30" s="2" t="s">
        <v>41</v>
      </c>
      <c r="C30" s="4">
        <f>COUNTIF(G2:G11,"&gt;90")</f>
        <v>5</v>
      </c>
      <c r="D30" s="2"/>
    </row>
    <row r="31" spans="1:4" ht="18.75" customHeight="1" x14ac:dyDescent="0.25">
      <c r="A31" s="2">
        <v>17</v>
      </c>
      <c r="B31" s="2" t="s">
        <v>56</v>
      </c>
      <c r="C31" s="4">
        <f>COUNTIF(F2:F11,"&lt;100%")</f>
        <v>3</v>
      </c>
      <c r="D31" s="2"/>
    </row>
    <row r="32" spans="1:4" ht="18.75" customHeight="1" x14ac:dyDescent="0.25">
      <c r="A32" s="2">
        <v>18</v>
      </c>
      <c r="B32" s="2" t="s">
        <v>42</v>
      </c>
      <c r="C32" s="4">
        <f>COUNTIF(F2:F11,"&gt;=100%")</f>
        <v>7</v>
      </c>
      <c r="D32" s="2"/>
    </row>
    <row r="33" spans="1:4" ht="18.75" customHeight="1" x14ac:dyDescent="0.25">
      <c r="A33" s="2">
        <v>19</v>
      </c>
      <c r="B33" s="2" t="s">
        <v>43</v>
      </c>
      <c r="C33" s="4">
        <f>SUM(E2:E11)</f>
        <v>673000</v>
      </c>
      <c r="D33" s="2"/>
    </row>
    <row r="34" spans="1:4" ht="18.75" customHeight="1" x14ac:dyDescent="0.25">
      <c r="A34" s="2">
        <v>20</v>
      </c>
      <c r="B34" s="2" t="s">
        <v>57</v>
      </c>
      <c r="C34" s="4" t="str">
        <f>IF(F2&gt;100%,"Eligibility","Not Eligible")</f>
        <v>Eligibility</v>
      </c>
      <c r="D34" s="2"/>
    </row>
    <row r="35" spans="1:4" ht="18.75" customHeight="1" x14ac:dyDescent="0.25">
      <c r="A35" s="2">
        <v>21</v>
      </c>
      <c r="B35" s="2" t="s">
        <v>58</v>
      </c>
      <c r="C35" s="4" t="str">
        <f>IF(G2&lt;85,"Attendance Warning","No Warning")</f>
        <v>No Warning</v>
      </c>
      <c r="D35" s="2"/>
    </row>
    <row r="36" spans="1:4" ht="41.25" customHeight="1" x14ac:dyDescent="0.25">
      <c r="A36" s="2">
        <v>22</v>
      </c>
      <c r="B36" s="2" t="s">
        <v>59</v>
      </c>
      <c r="C36" s="4" t="str">
        <f>IF(AND(D2&gt;=E2,G2&gt;=90),"Star performer","Average")</f>
        <v>Star performer</v>
      </c>
      <c r="D36" s="2"/>
    </row>
    <row r="37" spans="1:4" ht="18.75" customHeight="1" x14ac:dyDescent="0.25">
      <c r="A37" s="2">
        <v>23</v>
      </c>
      <c r="B37" s="2" t="s">
        <v>60</v>
      </c>
      <c r="C37" s="4">
        <f>COUNTIF(H2:H11,"Star Performer")</f>
        <v>6</v>
      </c>
      <c r="D37" s="2"/>
    </row>
    <row r="38" spans="1:4" ht="18.75" customHeight="1" x14ac:dyDescent="0.25">
      <c r="A38" s="2">
        <v>24</v>
      </c>
      <c r="B38" s="2" t="s">
        <v>44</v>
      </c>
      <c r="C38" s="4">
        <f>AVERAGEIF(C2:C11,"South",D2:D11)</f>
        <v>61750</v>
      </c>
      <c r="D38" s="2"/>
    </row>
    <row r="39" spans="1:4" ht="18.75" customHeight="1" x14ac:dyDescent="0.25">
      <c r="A39" s="2">
        <v>25</v>
      </c>
      <c r="B39" s="2" t="s">
        <v>45</v>
      </c>
      <c r="C39" s="2">
        <f>SUMIF(B2:B11,"Sales",D2:D11)</f>
        <v>313000</v>
      </c>
      <c r="D39" s="2"/>
    </row>
    <row r="40" spans="1:4" ht="18.75" customHeight="1" x14ac:dyDescent="0.25">
      <c r="A40" s="2">
        <v>26</v>
      </c>
      <c r="B40" s="2" t="s">
        <v>46</v>
      </c>
      <c r="C40" s="4"/>
      <c r="D40" s="2"/>
    </row>
    <row r="41" spans="1:4" ht="18.75" customHeight="1" x14ac:dyDescent="0.25">
      <c r="A41" s="2">
        <v>27</v>
      </c>
      <c r="B41" s="2" t="s">
        <v>61</v>
      </c>
      <c r="C41" s="2">
        <f>LARGE(D2:D11,2)</f>
        <v>91000</v>
      </c>
      <c r="D41" s="2"/>
    </row>
    <row r="42" spans="1:4" ht="18.75" customHeight="1" x14ac:dyDescent="0.25">
      <c r="A42" s="2">
        <v>28</v>
      </c>
      <c r="B42" s="2" t="s">
        <v>62</v>
      </c>
      <c r="C42" s="2">
        <f>SMALL(D2:D11,3)</f>
        <v>42000</v>
      </c>
      <c r="D42" s="2"/>
    </row>
    <row r="43" spans="1:4" ht="18.75" customHeight="1" x14ac:dyDescent="0.25">
      <c r="A43" s="2">
        <v>29</v>
      </c>
      <c r="B43" s="2" t="s">
        <v>47</v>
      </c>
      <c r="C43" s="4">
        <f>COUNTIFS(D2:D11,"&gt;=50000",D2:D11,"&lt;=90000")</f>
        <v>5</v>
      </c>
      <c r="D43" s="2"/>
    </row>
    <row r="44" spans="1:4" ht="18.75" customHeight="1" x14ac:dyDescent="0.25">
      <c r="A44" s="2">
        <v>30</v>
      </c>
      <c r="B44" s="2" t="s">
        <v>48</v>
      </c>
      <c r="C44" s="4">
        <f>SUMIFS(D2:D11,D2:D11,"&gt;80000",C2:C11,"South")</f>
        <v>85000</v>
      </c>
      <c r="D44" s="2"/>
    </row>
    <row r="45" spans="1:4" ht="18.75" customHeight="1" x14ac:dyDescent="0.25">
      <c r="A45" s="2">
        <v>31</v>
      </c>
      <c r="B45" s="2" t="s">
        <v>49</v>
      </c>
      <c r="C45" s="4"/>
      <c r="D45" s="2"/>
    </row>
    <row r="46" spans="1:4" ht="18.75" customHeight="1" x14ac:dyDescent="0.25">
      <c r="A46" s="2">
        <v>32</v>
      </c>
      <c r="B46" s="2" t="s">
        <v>50</v>
      </c>
      <c r="C46" s="4">
        <f>COUNTIFS(B2:B11,"IT",G2:G11,"&gt;=90")</f>
        <v>2</v>
      </c>
      <c r="D46" s="2"/>
    </row>
    <row r="47" spans="1:4" ht="18.75" customHeight="1" x14ac:dyDescent="0.25">
      <c r="A47" s="2"/>
      <c r="B47" s="2"/>
      <c r="C47" s="4"/>
      <c r="D47" s="2"/>
    </row>
    <row r="48" spans="1:4" ht="18.75" customHeight="1" x14ac:dyDescent="0.25">
      <c r="A48" s="2"/>
      <c r="B48" s="2"/>
      <c r="C48" s="4"/>
      <c r="D48" s="2"/>
    </row>
    <row r="49" spans="1:4" ht="18.75" customHeight="1" x14ac:dyDescent="0.25">
      <c r="A49" s="2"/>
      <c r="B49" s="2"/>
      <c r="C49" s="4"/>
      <c r="D49" s="2"/>
    </row>
    <row r="50" spans="1:4" ht="18.75" customHeight="1" x14ac:dyDescent="0.25">
      <c r="A50" s="2"/>
      <c r="B50" s="2"/>
      <c r="C50" s="2"/>
      <c r="D50" s="2"/>
    </row>
    <row r="51" spans="1:4" ht="18.75" customHeight="1" x14ac:dyDescent="0.25">
      <c r="A51" s="2"/>
      <c r="B51" s="2"/>
      <c r="C51" s="2"/>
      <c r="D51" s="2"/>
    </row>
    <row r="52" spans="1:4" ht="18.75" customHeight="1" x14ac:dyDescent="0.25">
      <c r="A52" s="2"/>
      <c r="B52" s="2"/>
      <c r="C52" s="2"/>
      <c r="D52" s="2"/>
    </row>
    <row r="53" spans="1:4" ht="18.75" customHeight="1" x14ac:dyDescent="0.25">
      <c r="A53" s="2"/>
      <c r="B53" s="2"/>
      <c r="C53" s="2"/>
      <c r="D53" s="2"/>
    </row>
    <row r="54" spans="1:4" ht="18.75" customHeight="1" x14ac:dyDescent="0.25">
      <c r="A54" s="2"/>
      <c r="B54" s="2"/>
      <c r="C54" s="4"/>
      <c r="D54" s="2"/>
    </row>
    <row r="55" spans="1:4" ht="18.75" customHeight="1" x14ac:dyDescent="0.25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 x14ac:dyDescent="0.25">
      <c r="A56" s="2"/>
      <c r="B56" s="2"/>
      <c r="C56" s="4"/>
      <c r="D56" s="2"/>
    </row>
    <row r="57" spans="1:4" ht="18.75" customHeight="1" x14ac:dyDescent="0.25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8" workbookViewId="0">
      <selection activeCell="D32" sqref="D32"/>
    </sheetView>
  </sheetViews>
  <sheetFormatPr defaultColWidth="19.42578125" defaultRowHeight="22.5" customHeight="1" x14ac:dyDescent="0.25"/>
  <cols>
    <col min="2" max="2" width="44.7109375" bestFit="1" customWidth="1"/>
    <col min="4" max="4" width="28.7109375" bestFit="1" customWidth="1"/>
  </cols>
  <sheetData>
    <row r="1" spans="1:7" ht="22.5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2.5" customHeight="1" x14ac:dyDescent="0.25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</row>
    <row r="3" spans="1:7" ht="22.5" customHeight="1" x14ac:dyDescent="0.25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</row>
    <row r="4" spans="1:7" ht="22.5" customHeight="1" x14ac:dyDescent="0.25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</row>
    <row r="5" spans="1:7" ht="22.5" customHeight="1" x14ac:dyDescent="0.25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</row>
    <row r="6" spans="1:7" ht="22.5" customHeight="1" x14ac:dyDescent="0.25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</row>
    <row r="7" spans="1:7" ht="22.5" customHeight="1" x14ac:dyDescent="0.25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</row>
    <row r="8" spans="1:7" ht="22.5" customHeight="1" x14ac:dyDescent="0.25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</row>
    <row r="9" spans="1:7" ht="22.5" customHeight="1" x14ac:dyDescent="0.25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</row>
    <row r="10" spans="1:7" ht="22.5" customHeight="1" x14ac:dyDescent="0.25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</row>
    <row r="11" spans="1:7" ht="22.5" customHeight="1" x14ac:dyDescent="0.25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</row>
    <row r="13" spans="1:7" ht="22.5" customHeight="1" x14ac:dyDescent="0.25">
      <c r="A13" s="1" t="s">
        <v>24</v>
      </c>
      <c r="B13" s="1" t="s">
        <v>25</v>
      </c>
      <c r="C13" s="1" t="s">
        <v>169</v>
      </c>
      <c r="D13" s="1"/>
    </row>
    <row r="14" spans="1:7" ht="22.5" customHeight="1" x14ac:dyDescent="0.25">
      <c r="A14" s="2">
        <v>1</v>
      </c>
      <c r="B14" s="2" t="s">
        <v>93</v>
      </c>
      <c r="C14" s="4">
        <f>SUM(E:E)</f>
        <v>385</v>
      </c>
      <c r="D14" s="2"/>
    </row>
    <row r="15" spans="1:7" ht="22.5" customHeight="1" x14ac:dyDescent="0.25">
      <c r="A15" s="2">
        <v>2</v>
      </c>
      <c r="B15" s="2" t="s">
        <v>94</v>
      </c>
      <c r="C15" s="4">
        <f>AVERAGE(D:D)</f>
        <v>16700</v>
      </c>
      <c r="D15" s="2"/>
    </row>
    <row r="16" spans="1:7" ht="22.5" customHeight="1" x14ac:dyDescent="0.25">
      <c r="A16" s="2">
        <v>3</v>
      </c>
      <c r="B16" s="2" t="s">
        <v>95</v>
      </c>
      <c r="C16" s="4">
        <f>MAX(D:D)</f>
        <v>55000</v>
      </c>
      <c r="D16" s="2"/>
    </row>
    <row r="17" spans="1:4" ht="22.5" customHeight="1" x14ac:dyDescent="0.25">
      <c r="A17" s="2">
        <v>4</v>
      </c>
      <c r="B17" s="2" t="s">
        <v>96</v>
      </c>
      <c r="C17" s="4">
        <f>MIN(D:D)</f>
        <v>800</v>
      </c>
      <c r="D17" s="2"/>
    </row>
    <row r="18" spans="1:4" ht="22.5" customHeight="1" x14ac:dyDescent="0.25">
      <c r="A18" s="2">
        <v>5</v>
      </c>
      <c r="B18" s="2" t="s">
        <v>97</v>
      </c>
      <c r="C18" s="4">
        <f>COUNTA(A2:A11)</f>
        <v>10</v>
      </c>
      <c r="D18" s="2"/>
    </row>
    <row r="19" spans="1:4" ht="22.5" customHeight="1" x14ac:dyDescent="0.25">
      <c r="A19" s="2">
        <v>6</v>
      </c>
      <c r="B19" s="2" t="s">
        <v>98</v>
      </c>
      <c r="C19" s="4">
        <f>COUNTIF(C2:C11,"ACCESSORIES")</f>
        <v>3</v>
      </c>
      <c r="D19" s="2"/>
    </row>
    <row r="20" spans="1:4" ht="22.5" customHeight="1" x14ac:dyDescent="0.25">
      <c r="A20" s="2">
        <v>7</v>
      </c>
      <c r="B20" s="2" t="s">
        <v>99</v>
      </c>
      <c r="C20" s="4">
        <f>SUMIF(C2:C11,"Electronics",D2:D11)</f>
        <v>157000</v>
      </c>
      <c r="D20" s="2"/>
    </row>
    <row r="21" spans="1:4" ht="22.5" customHeight="1" x14ac:dyDescent="0.25">
      <c r="A21" s="2">
        <v>8</v>
      </c>
      <c r="B21" s="2" t="s">
        <v>100</v>
      </c>
      <c r="C21" s="4">
        <f>AVERAGEIF(C2:C11,"Electronics",F2:F11)</f>
        <v>5.333333333333333</v>
      </c>
      <c r="D21" s="2"/>
    </row>
    <row r="22" spans="1:4" ht="22.5" customHeight="1" x14ac:dyDescent="0.25">
      <c r="A22" s="2">
        <v>9</v>
      </c>
      <c r="B22" s="2" t="s">
        <v>101</v>
      </c>
      <c r="C22" s="4">
        <f>COUNTIF(G2:G11,"South")</f>
        <v>3</v>
      </c>
      <c r="D22" s="2"/>
    </row>
    <row r="23" spans="1:4" ht="22.5" customHeight="1" x14ac:dyDescent="0.25">
      <c r="A23" s="2">
        <v>10</v>
      </c>
      <c r="B23" s="2" t="s">
        <v>102</v>
      </c>
      <c r="C23" s="4">
        <f>SUMIF(G2:G11,"East",E2:E11)</f>
        <v>130</v>
      </c>
      <c r="D23" s="2"/>
    </row>
    <row r="24" spans="1:4" ht="22.5" customHeight="1" x14ac:dyDescent="0.25">
      <c r="A24" s="2">
        <v>11</v>
      </c>
      <c r="B24" s="2" t="s">
        <v>103</v>
      </c>
      <c r="C24" s="4">
        <f>AVERAGEIF(D2:D11,"&gt;10000")</f>
        <v>29400</v>
      </c>
      <c r="D24" s="2"/>
    </row>
    <row r="25" spans="1:4" ht="22.5" customHeight="1" x14ac:dyDescent="0.25">
      <c r="A25" s="2">
        <v>12</v>
      </c>
      <c r="B25" s="2" t="s">
        <v>104</v>
      </c>
      <c r="C25" s="4">
        <f>COUNTIF(F2:F11,"&lt;10%")</f>
        <v>1</v>
      </c>
      <c r="D25" s="2"/>
    </row>
    <row r="26" spans="1:4" ht="22.5" customHeight="1" x14ac:dyDescent="0.25">
      <c r="A26" s="2">
        <v>13</v>
      </c>
      <c r="B26" s="2" t="s">
        <v>105</v>
      </c>
      <c r="C26" s="4"/>
      <c r="D26" s="2"/>
    </row>
    <row r="27" spans="1:4" ht="22.5" customHeight="1" x14ac:dyDescent="0.25">
      <c r="A27" s="2">
        <v>14</v>
      </c>
      <c r="B27" s="2" t="s">
        <v>110</v>
      </c>
      <c r="C27" s="4" t="str">
        <f>IF(D2&gt;10000,"Expensive","budget")</f>
        <v>Expensive</v>
      </c>
      <c r="D27" s="2"/>
    </row>
    <row r="28" spans="1:4" ht="33.75" customHeight="1" x14ac:dyDescent="0.25">
      <c r="A28" s="2">
        <v>15</v>
      </c>
      <c r="B28" s="2" t="s">
        <v>111</v>
      </c>
      <c r="C28" s="4" t="str">
        <f>IF(G2="South","Zone A","other zone")</f>
        <v>Zone A</v>
      </c>
      <c r="D28" s="2"/>
    </row>
    <row r="29" spans="1:4" ht="22.5" customHeight="1" x14ac:dyDescent="0.25">
      <c r="A29" s="2">
        <v>16</v>
      </c>
      <c r="B29" s="2" t="s">
        <v>106</v>
      </c>
      <c r="C29" s="4">
        <f>COUNTIFS(D2:D11,"&gt;10000",F2:F11,"&lt;5")</f>
        <v>2</v>
      </c>
      <c r="D29" s="2"/>
    </row>
    <row r="30" spans="1:4" ht="22.5" customHeight="1" x14ac:dyDescent="0.25">
      <c r="A30" s="2">
        <v>17</v>
      </c>
      <c r="B30" s="2" t="s">
        <v>107</v>
      </c>
      <c r="C30" s="4">
        <f>SUMIFS(E2:E11,C2:C11,"Electronics",F2:F11,"&gt;10")</f>
        <v>0</v>
      </c>
      <c r="D30" s="2"/>
    </row>
    <row r="31" spans="1:4" ht="22.5" customHeight="1" x14ac:dyDescent="0.25">
      <c r="A31" s="2">
        <v>18</v>
      </c>
      <c r="B31" s="2" t="s">
        <v>108</v>
      </c>
      <c r="C31" s="4">
        <f>AVERAGEIF(G2:G11,"South",D2:D11)</f>
        <v>35666.666666666664</v>
      </c>
      <c r="D31" s="2"/>
    </row>
    <row r="32" spans="1:4" ht="22.5" customHeight="1" x14ac:dyDescent="0.25">
      <c r="A32" s="2">
        <v>19</v>
      </c>
      <c r="B32" s="2" t="s">
        <v>109</v>
      </c>
      <c r="C32" s="4">
        <f>COUNTIFS(C2:C11,"Accessories",E2:E11,"&gt;=50")</f>
        <v>2</v>
      </c>
      <c r="D32" s="2"/>
    </row>
    <row r="33" spans="1:4" ht="22.5" customHeight="1" x14ac:dyDescent="0.25">
      <c r="A33" s="2"/>
      <c r="B33" s="2"/>
      <c r="C33" s="4"/>
      <c r="D33" s="2"/>
    </row>
    <row r="34" spans="1:4" ht="22.5" customHeight="1" x14ac:dyDescent="0.25">
      <c r="A34" s="2"/>
      <c r="B34" s="2"/>
      <c r="C34" s="4"/>
      <c r="D34" s="2"/>
    </row>
    <row r="35" spans="1:4" ht="22.5" customHeight="1" x14ac:dyDescent="0.25">
      <c r="A35" s="2"/>
      <c r="B35" s="2"/>
      <c r="C35" s="4"/>
      <c r="D35" s="2"/>
    </row>
    <row r="36" spans="1:4" ht="22.5" customHeight="1" x14ac:dyDescent="0.25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0" workbookViewId="0">
      <selection activeCell="D39" sqref="D39"/>
    </sheetView>
  </sheetViews>
  <sheetFormatPr defaultRowHeight="24" customHeight="1" x14ac:dyDescent="0.25"/>
  <cols>
    <col min="1" max="1" width="12.42578125" bestFit="1" customWidth="1"/>
    <col min="2" max="2" width="45.140625" bestFit="1" customWidth="1"/>
    <col min="3" max="3" width="16.85546875" bestFit="1" customWidth="1"/>
    <col min="4" max="4" width="29.85546875" bestFit="1" customWidth="1"/>
    <col min="5" max="5" width="17.42578125" bestFit="1" customWidth="1"/>
    <col min="6" max="6" width="11.28515625" bestFit="1" customWidth="1"/>
    <col min="7" max="7" width="18.28515625" bestFit="1" customWidth="1"/>
  </cols>
  <sheetData>
    <row r="1" spans="1:7" ht="24" customHeight="1" x14ac:dyDescent="0.25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68</v>
      </c>
      <c r="G1" s="6" t="s">
        <v>117</v>
      </c>
    </row>
    <row r="2" spans="1:7" ht="24" customHeight="1" x14ac:dyDescent="0.25">
      <c r="A2" s="5" t="s">
        <v>118</v>
      </c>
      <c r="B2" s="5" t="s">
        <v>21</v>
      </c>
      <c r="C2" s="5" t="s">
        <v>119</v>
      </c>
      <c r="D2" s="5" t="s">
        <v>120</v>
      </c>
      <c r="E2" s="5">
        <v>10871</v>
      </c>
      <c r="F2" s="5">
        <v>20</v>
      </c>
      <c r="G2" s="7">
        <v>45658</v>
      </c>
    </row>
    <row r="3" spans="1:7" ht="24" customHeight="1" x14ac:dyDescent="0.25">
      <c r="A3" s="5" t="s">
        <v>121</v>
      </c>
      <c r="B3" s="5" t="s">
        <v>17</v>
      </c>
      <c r="C3" s="5" t="s">
        <v>122</v>
      </c>
      <c r="D3" s="5" t="s">
        <v>123</v>
      </c>
      <c r="E3" s="5">
        <v>18363</v>
      </c>
      <c r="F3" s="5">
        <v>5</v>
      </c>
      <c r="G3" s="7">
        <v>45673</v>
      </c>
    </row>
    <row r="4" spans="1:7" ht="24" customHeight="1" x14ac:dyDescent="0.25">
      <c r="A4" s="5" t="s">
        <v>124</v>
      </c>
      <c r="B4" s="5" t="s">
        <v>125</v>
      </c>
      <c r="C4" s="5" t="s">
        <v>126</v>
      </c>
      <c r="D4" s="5" t="s">
        <v>123</v>
      </c>
      <c r="E4" s="5">
        <v>14263</v>
      </c>
      <c r="F4" s="5">
        <v>5</v>
      </c>
      <c r="G4" s="7">
        <v>45688</v>
      </c>
    </row>
    <row r="5" spans="1:7" ht="24" customHeight="1" x14ac:dyDescent="0.25">
      <c r="A5" s="5" t="s">
        <v>127</v>
      </c>
      <c r="B5" s="5" t="s">
        <v>22</v>
      </c>
      <c r="C5" s="5" t="s">
        <v>119</v>
      </c>
      <c r="D5" s="5" t="s">
        <v>128</v>
      </c>
      <c r="E5" s="5">
        <v>15486</v>
      </c>
      <c r="F5" s="5">
        <v>5</v>
      </c>
      <c r="G5" s="7">
        <v>45703</v>
      </c>
    </row>
    <row r="6" spans="1:7" ht="24" customHeight="1" x14ac:dyDescent="0.25">
      <c r="A6" s="5" t="s">
        <v>129</v>
      </c>
      <c r="B6" s="5" t="s">
        <v>130</v>
      </c>
      <c r="C6" s="5" t="s">
        <v>122</v>
      </c>
      <c r="D6" s="5" t="s">
        <v>123</v>
      </c>
      <c r="E6" s="5">
        <v>12550</v>
      </c>
      <c r="F6" s="5">
        <v>5</v>
      </c>
      <c r="G6" s="7">
        <v>45718</v>
      </c>
    </row>
    <row r="7" spans="1:7" ht="24" customHeight="1" x14ac:dyDescent="0.25">
      <c r="A7" s="5" t="s">
        <v>131</v>
      </c>
      <c r="B7" s="5" t="s">
        <v>132</v>
      </c>
      <c r="C7" s="5" t="s">
        <v>126</v>
      </c>
      <c r="D7" s="5" t="s">
        <v>128</v>
      </c>
      <c r="E7" s="5">
        <v>9011</v>
      </c>
      <c r="F7" s="5">
        <v>5</v>
      </c>
      <c r="G7" s="7">
        <v>45733</v>
      </c>
    </row>
    <row r="8" spans="1:7" ht="24" customHeight="1" x14ac:dyDescent="0.25">
      <c r="A8" s="5" t="s">
        <v>133</v>
      </c>
      <c r="B8" s="5" t="s">
        <v>134</v>
      </c>
      <c r="C8" s="5" t="s">
        <v>126</v>
      </c>
      <c r="D8" s="5" t="s">
        <v>123</v>
      </c>
      <c r="E8" s="5">
        <v>2170</v>
      </c>
      <c r="F8" s="5">
        <v>20</v>
      </c>
      <c r="G8" s="7">
        <v>45748</v>
      </c>
    </row>
    <row r="9" spans="1:7" ht="24" customHeight="1" x14ac:dyDescent="0.25">
      <c r="A9" s="5" t="s">
        <v>135</v>
      </c>
      <c r="B9" s="5" t="s">
        <v>12</v>
      </c>
      <c r="C9" s="5" t="s">
        <v>122</v>
      </c>
      <c r="D9" s="5" t="s">
        <v>123</v>
      </c>
      <c r="E9" s="5">
        <v>22619</v>
      </c>
      <c r="F9" s="5">
        <v>10</v>
      </c>
      <c r="G9" s="7">
        <v>45763</v>
      </c>
    </row>
    <row r="10" spans="1:7" ht="24" customHeight="1" x14ac:dyDescent="0.25">
      <c r="A10" s="5" t="s">
        <v>136</v>
      </c>
      <c r="B10" s="5" t="s">
        <v>20</v>
      </c>
      <c r="C10" s="5" t="s">
        <v>126</v>
      </c>
      <c r="D10" s="5" t="s">
        <v>72</v>
      </c>
      <c r="E10" s="5">
        <v>24850</v>
      </c>
      <c r="F10" s="5">
        <v>5</v>
      </c>
      <c r="G10" s="7">
        <v>45778</v>
      </c>
    </row>
    <row r="11" spans="1:7" ht="24" customHeight="1" x14ac:dyDescent="0.25">
      <c r="A11" s="5" t="s">
        <v>137</v>
      </c>
      <c r="B11" s="5" t="s">
        <v>19</v>
      </c>
      <c r="C11" s="5" t="s">
        <v>119</v>
      </c>
      <c r="D11" s="5" t="s">
        <v>128</v>
      </c>
      <c r="E11" s="5">
        <v>16158</v>
      </c>
      <c r="F11" s="5">
        <v>5</v>
      </c>
      <c r="G11" s="7">
        <v>45793</v>
      </c>
    </row>
    <row r="12" spans="1:7" ht="24" customHeight="1" x14ac:dyDescent="0.25">
      <c r="A12" s="5" t="s">
        <v>138</v>
      </c>
      <c r="B12" s="5" t="s">
        <v>139</v>
      </c>
      <c r="C12" s="5" t="s">
        <v>122</v>
      </c>
      <c r="D12" s="5" t="s">
        <v>128</v>
      </c>
      <c r="E12" s="5">
        <v>15902</v>
      </c>
      <c r="F12" s="5">
        <v>15</v>
      </c>
      <c r="G12" s="7">
        <v>45808</v>
      </c>
    </row>
    <row r="13" spans="1:7" ht="24" customHeight="1" x14ac:dyDescent="0.25">
      <c r="A13" s="5" t="s">
        <v>140</v>
      </c>
      <c r="B13" s="5" t="s">
        <v>141</v>
      </c>
      <c r="C13" s="5" t="s">
        <v>119</v>
      </c>
      <c r="D13" s="5" t="s">
        <v>123</v>
      </c>
      <c r="E13" s="5">
        <v>22410</v>
      </c>
      <c r="F13" s="5">
        <v>20</v>
      </c>
      <c r="G13" s="7">
        <v>45823</v>
      </c>
    </row>
    <row r="14" spans="1:7" ht="24" customHeight="1" x14ac:dyDescent="0.25">
      <c r="A14" s="5" t="s">
        <v>142</v>
      </c>
      <c r="B14" s="5" t="s">
        <v>14</v>
      </c>
      <c r="C14" s="5" t="s">
        <v>122</v>
      </c>
      <c r="D14" s="5" t="s">
        <v>123</v>
      </c>
      <c r="E14" s="5">
        <v>20429</v>
      </c>
      <c r="F14" s="5">
        <v>15</v>
      </c>
      <c r="G14" s="7">
        <v>45838</v>
      </c>
    </row>
    <row r="15" spans="1:7" ht="24" customHeight="1" x14ac:dyDescent="0.25">
      <c r="A15" s="5" t="s">
        <v>143</v>
      </c>
      <c r="B15" s="5" t="s">
        <v>144</v>
      </c>
      <c r="C15" s="5" t="s">
        <v>122</v>
      </c>
      <c r="D15" s="5" t="s">
        <v>120</v>
      </c>
      <c r="E15" s="5">
        <v>10772</v>
      </c>
      <c r="F15" s="5">
        <v>10</v>
      </c>
      <c r="G15" s="7">
        <v>45853</v>
      </c>
    </row>
    <row r="16" spans="1:7" ht="24" customHeight="1" x14ac:dyDescent="0.25">
      <c r="A16" s="5" t="s">
        <v>145</v>
      </c>
      <c r="B16" s="5" t="s">
        <v>146</v>
      </c>
      <c r="C16" s="5" t="s">
        <v>126</v>
      </c>
      <c r="D16" s="5" t="s">
        <v>128</v>
      </c>
      <c r="E16" s="5">
        <v>4361</v>
      </c>
      <c r="F16" s="5">
        <v>10</v>
      </c>
      <c r="G16" s="7">
        <v>45868</v>
      </c>
    </row>
    <row r="19" spans="1:8" ht="24" customHeight="1" x14ac:dyDescent="0.25">
      <c r="A19" s="1" t="s">
        <v>24</v>
      </c>
      <c r="B19" s="1" t="s">
        <v>25</v>
      </c>
      <c r="C19" s="1" t="s">
        <v>169</v>
      </c>
      <c r="D19" s="1"/>
    </row>
    <row r="20" spans="1:8" ht="24" customHeight="1" x14ac:dyDescent="0.25">
      <c r="A20" s="2">
        <v>1</v>
      </c>
      <c r="B20" s="2" t="s">
        <v>147</v>
      </c>
      <c r="C20" s="5">
        <f>SUM(E2:E16)</f>
        <v>220215</v>
      </c>
      <c r="D20" s="5"/>
      <c r="H20" s="5"/>
    </row>
    <row r="21" spans="1:8" ht="24" customHeight="1" x14ac:dyDescent="0.25">
      <c r="A21" s="2">
        <v>2</v>
      </c>
      <c r="B21" s="2" t="s">
        <v>148</v>
      </c>
      <c r="C21" s="2">
        <f>AVERAGE(E2:E16)</f>
        <v>14681</v>
      </c>
      <c r="D21" s="5"/>
    </row>
    <row r="22" spans="1:8" ht="24" customHeight="1" x14ac:dyDescent="0.25">
      <c r="A22" s="2">
        <v>3</v>
      </c>
      <c r="B22" s="2" t="s">
        <v>149</v>
      </c>
      <c r="C22" s="2">
        <f>MAX(E2:E16)</f>
        <v>24850</v>
      </c>
      <c r="D22" s="5"/>
    </row>
    <row r="23" spans="1:8" ht="24" customHeight="1" x14ac:dyDescent="0.25">
      <c r="A23" s="2">
        <v>4</v>
      </c>
      <c r="B23" s="2" t="s">
        <v>150</v>
      </c>
      <c r="C23" s="2">
        <f>MIN(E2:E16)</f>
        <v>2170</v>
      </c>
      <c r="D23" s="5"/>
    </row>
    <row r="24" spans="1:8" ht="24" customHeight="1" x14ac:dyDescent="0.25">
      <c r="A24" s="2">
        <v>5</v>
      </c>
      <c r="B24" s="2" t="s">
        <v>151</v>
      </c>
      <c r="C24" s="2">
        <f>COUNTA(B2:B16)</f>
        <v>15</v>
      </c>
      <c r="D24" s="5"/>
    </row>
    <row r="25" spans="1:8" ht="24" customHeight="1" x14ac:dyDescent="0.25">
      <c r="A25" s="2">
        <v>6</v>
      </c>
      <c r="B25" s="2" t="s">
        <v>152</v>
      </c>
      <c r="C25" s="2">
        <f>COUNTIF(C2:C16,"Chennai")</f>
        <v>5</v>
      </c>
      <c r="D25" s="5"/>
    </row>
    <row r="26" spans="1:8" ht="24" customHeight="1" x14ac:dyDescent="0.25">
      <c r="A26" s="2">
        <v>7</v>
      </c>
      <c r="B26" s="2" t="s">
        <v>153</v>
      </c>
      <c r="C26" s="2">
        <f>SUMIF(C2:C16,"Madurai",E2:E16)</f>
        <v>64925</v>
      </c>
      <c r="D26" s="5"/>
    </row>
    <row r="27" spans="1:8" ht="24" customHeight="1" x14ac:dyDescent="0.25">
      <c r="A27" s="2">
        <v>8</v>
      </c>
      <c r="B27" s="2" t="s">
        <v>154</v>
      </c>
      <c r="C27" s="2">
        <f>AVERAGEIF(D2:D16,"Clothing",F2:F16)</f>
        <v>8</v>
      </c>
      <c r="D27" s="5"/>
    </row>
    <row r="28" spans="1:8" ht="24" customHeight="1" x14ac:dyDescent="0.25">
      <c r="A28" s="2">
        <v>9</v>
      </c>
      <c r="B28" s="2" t="s">
        <v>155</v>
      </c>
      <c r="C28" s="2">
        <f>COUNTIF(D2:D16,"Electronics")</f>
        <v>1</v>
      </c>
      <c r="D28" s="5"/>
    </row>
    <row r="29" spans="1:8" ht="24" customHeight="1" x14ac:dyDescent="0.25">
      <c r="A29" s="2">
        <v>10</v>
      </c>
      <c r="B29" s="2" t="s">
        <v>156</v>
      </c>
      <c r="C29" s="2">
        <f>SUMIF(D2:D16,"Furniture",E2:E16)</f>
        <v>21643</v>
      </c>
      <c r="D29" s="5"/>
    </row>
    <row r="30" spans="1:8" ht="24" customHeight="1" x14ac:dyDescent="0.25">
      <c r="A30" s="2">
        <v>11</v>
      </c>
      <c r="B30" s="2" t="s">
        <v>157</v>
      </c>
      <c r="C30" s="2">
        <f>COUNTIF(E2:E16,"&gt;15000")</f>
        <v>8</v>
      </c>
      <c r="D30" s="5"/>
    </row>
    <row r="31" spans="1:8" ht="24" customHeight="1" x14ac:dyDescent="0.25">
      <c r="A31" s="2">
        <v>12</v>
      </c>
      <c r="B31" s="2" t="s">
        <v>158</v>
      </c>
      <c r="C31" s="2">
        <f>AVERAGEIF(E2:E16,"&lt;10000")</f>
        <v>5180.666666666667</v>
      </c>
      <c r="D31" s="5"/>
    </row>
    <row r="32" spans="1:8" ht="24" customHeight="1" x14ac:dyDescent="0.25">
      <c r="A32" s="2">
        <v>13</v>
      </c>
      <c r="B32" s="2" t="s">
        <v>159</v>
      </c>
      <c r="C32" s="4">
        <f>SUMIF(F2:F16,10,E2:E16)</f>
        <v>37752</v>
      </c>
      <c r="D32" s="2"/>
    </row>
    <row r="33" spans="1:4" ht="24" customHeight="1" x14ac:dyDescent="0.25">
      <c r="A33" s="2">
        <v>14</v>
      </c>
      <c r="B33" s="2" t="s">
        <v>167</v>
      </c>
      <c r="C33" s="4" t="str">
        <f>IF(E2&gt;10000,"Big","Small")</f>
        <v>Big</v>
      </c>
      <c r="D33" s="2"/>
    </row>
    <row r="34" spans="1:4" ht="24" customHeight="1" x14ac:dyDescent="0.25">
      <c r="A34" s="2"/>
      <c r="B34" s="2"/>
      <c r="C34" s="4"/>
      <c r="D34" s="2"/>
    </row>
    <row r="35" spans="1:4" ht="24" customHeight="1" x14ac:dyDescent="0.25">
      <c r="A35" s="2">
        <v>16</v>
      </c>
      <c r="B35" s="2" t="s">
        <v>168</v>
      </c>
      <c r="C35" s="4" t="str">
        <f>IF(C2="Chennai","Metro","Other")</f>
        <v>Other</v>
      </c>
      <c r="D35" s="2" t="s">
        <v>160</v>
      </c>
    </row>
    <row r="36" spans="1:4" ht="24" customHeight="1" x14ac:dyDescent="0.25">
      <c r="A36" s="2">
        <v>17</v>
      </c>
      <c r="B36" s="2" t="s">
        <v>161</v>
      </c>
      <c r="C36" s="4">
        <f>COUNTIFS(D2:D16,"Clothing",F2:F16,"&gt;10")</f>
        <v>1</v>
      </c>
      <c r="D36" s="2" t="s">
        <v>51</v>
      </c>
    </row>
    <row r="37" spans="1:4" ht="24" customHeight="1" x14ac:dyDescent="0.25">
      <c r="A37" s="2">
        <v>18</v>
      </c>
      <c r="B37" s="2" t="s">
        <v>162</v>
      </c>
      <c r="C37" s="4">
        <f>SUMIFS(E2:E16,D2:D16,"Electronics",F2:F16,5)</f>
        <v>24850</v>
      </c>
      <c r="D37" s="2" t="s">
        <v>163</v>
      </c>
    </row>
    <row r="38" spans="1:4" ht="24" customHeight="1" x14ac:dyDescent="0.25">
      <c r="A38" s="2">
        <v>19</v>
      </c>
      <c r="B38" s="2" t="s">
        <v>164</v>
      </c>
      <c r="C38" s="4" t="str">
        <f>IFERROR(AVERAGEIF(C2:C16,"Coimbatore",E2:E16),"No Purchase from Coimbatore")</f>
        <v>No Purchase from Coimbatore</v>
      </c>
      <c r="D38" s="2" t="s">
        <v>165</v>
      </c>
    </row>
    <row r="39" spans="1:4" ht="24" customHeight="1" x14ac:dyDescent="0.25">
      <c r="A39" s="2">
        <v>20</v>
      </c>
      <c r="B39" s="2" t="s">
        <v>166</v>
      </c>
      <c r="C39" s="4">
        <f>COUNTIFS(D2:D16,"Groceries",E2:E16,"&lt;5000")</f>
        <v>1</v>
      </c>
      <c r="D39" s="2" t="s">
        <v>51</v>
      </c>
    </row>
    <row r="40" spans="1:4" ht="24" customHeight="1" x14ac:dyDescent="0.25">
      <c r="A40" s="2"/>
      <c r="B40" s="2"/>
      <c r="C40" s="4"/>
      <c r="D40" s="2"/>
    </row>
    <row r="41" spans="1:4" ht="24" customHeight="1" x14ac:dyDescent="0.25">
      <c r="A41" s="2"/>
      <c r="B41" s="2"/>
      <c r="C41" s="4"/>
      <c r="D41" s="2"/>
    </row>
    <row r="42" spans="1:4" ht="24" customHeight="1" x14ac:dyDescent="0.25">
      <c r="A42" s="2"/>
      <c r="B42" s="2"/>
      <c r="C42" s="4"/>
      <c r="D42" s="2"/>
    </row>
    <row r="43" spans="1:4" ht="24" customHeight="1" x14ac:dyDescent="0.25">
      <c r="A43" s="2"/>
      <c r="B43" s="2"/>
      <c r="C43" s="4"/>
      <c r="D43" s="2"/>
    </row>
    <row r="44" spans="1:4" ht="24" customHeight="1" x14ac:dyDescent="0.25">
      <c r="A44" s="2"/>
      <c r="B44" s="2"/>
      <c r="C44" s="4"/>
      <c r="D44" s="2"/>
    </row>
    <row r="45" spans="1:4" ht="24" customHeight="1" x14ac:dyDescent="0.25">
      <c r="A45" s="2"/>
      <c r="B45" s="2"/>
      <c r="C45" s="4"/>
      <c r="D45" s="2"/>
    </row>
    <row r="46" spans="1:4" ht="24" customHeight="1" x14ac:dyDescent="0.25">
      <c r="A46" s="2"/>
      <c r="B46" s="2"/>
      <c r="C46" s="4"/>
      <c r="D46" s="2"/>
    </row>
    <row r="47" spans="1:4" ht="24" customHeight="1" x14ac:dyDescent="0.25">
      <c r="A47" s="2"/>
      <c r="B47" s="2"/>
      <c r="C47" s="2"/>
      <c r="D47" s="2"/>
    </row>
    <row r="48" spans="1:4" ht="24" customHeight="1" x14ac:dyDescent="0.25">
      <c r="A48" s="2"/>
      <c r="B48" s="2"/>
      <c r="C48" s="2"/>
      <c r="D48" s="2"/>
    </row>
    <row r="49" spans="1:4" ht="24" customHeight="1" x14ac:dyDescent="0.25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2025-11-12T14:45:19Z</dcterms:created>
  <dcterms:modified xsi:type="dcterms:W3CDTF">2025-11-14T10:05:01Z</dcterms:modified>
</cp:coreProperties>
</file>